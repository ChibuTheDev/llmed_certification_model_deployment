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Michela\Downloads\"/>
    </mc:Choice>
  </mc:AlternateContent>
  <xr:revisionPtr revIDLastSave="0" documentId="13_ncr:1_{C1518F54-70C0-4903-849F-8A0FC5B3C2FB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frastructure_Costs" sheetId="1" r:id="rId1"/>
    <sheet name="Throughput_Model" sheetId="2" r:id="rId2"/>
    <sheet name="Optimization_Scen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B4" i="2" s="1"/>
  <c r="B5" i="2" s="1"/>
  <c r="B7" i="2" s="1"/>
  <c r="B8" i="2" s="1"/>
  <c r="D5" i="1"/>
  <c r="D4" i="1"/>
  <c r="D3" i="1"/>
  <c r="C2" i="1"/>
  <c r="D2" i="1" s="1"/>
  <c r="B2" i="3" l="1"/>
  <c r="D6" i="1"/>
  <c r="B6" i="3" l="1"/>
  <c r="C6" i="3" s="1"/>
  <c r="B4" i="3"/>
  <c r="C4" i="3" s="1"/>
  <c r="C3" i="3"/>
  <c r="B5" i="3"/>
  <c r="C5" i="3" s="1"/>
</calcChain>
</file>

<file path=xl/sharedStrings.xml><?xml version="1.0" encoding="utf-8"?>
<sst xmlns="http://schemas.openxmlformats.org/spreadsheetml/2006/main" count="26" uniqueCount="26">
  <si>
    <t>Cost Component</t>
  </si>
  <si>
    <t>Unit Cost</t>
  </si>
  <si>
    <t>Monthly Usage</t>
  </si>
  <si>
    <t>Monthly Estimate</t>
  </si>
  <si>
    <t>GPU Compute (T4)</t>
  </si>
  <si>
    <t>Storage</t>
  </si>
  <si>
    <t>Network Transfer</t>
  </si>
  <si>
    <t>Monitoring (W&amp;B)</t>
  </si>
  <si>
    <t>Total Monthly Cost</t>
  </si>
  <si>
    <t>Metric</t>
  </si>
  <si>
    <t>Value</t>
  </si>
  <si>
    <t>Average Latency (seconds)</t>
  </si>
  <si>
    <t>Theoretical Requests per Second</t>
  </si>
  <si>
    <t>Theoretical Requests per Hour</t>
  </si>
  <si>
    <t>Conservative Requests per Hour (80% efficiency)</t>
  </si>
  <si>
    <t>Hourly GPU Cost</t>
  </si>
  <si>
    <t>Cost per Request</t>
  </si>
  <si>
    <t>Cost per 1,000 Requests</t>
  </si>
  <si>
    <t>Strategy</t>
  </si>
  <si>
    <t>Monthly GPU Cost</t>
  </si>
  <si>
    <t>Savings vs Baseline</t>
  </si>
  <si>
    <t>Baseline (24/7)</t>
  </si>
  <si>
    <t>Auto-Scaling (12h active)</t>
  </si>
  <si>
    <t>INT8 Quantization (25% reduction)</t>
  </si>
  <si>
    <t>Batching (18% reduction)</t>
  </si>
  <si>
    <t>Spot Instances (40% reduction)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</si>
</sst>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12" sqref="B12"/>
    </sheetView>
  </sheetViews>
  <sheetFormatPr defaultRowHeight="14.5" x14ac:dyDescent="0.35"/>
  <cols>
    <col min="1" max="1" width="21.90625" customWidth="1"/>
    <col min="2" max="2" width="11.90625" customWidth="1"/>
    <col min="3" max="3" width="13.6328125" customWidth="1"/>
    <col min="4" max="4" width="14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0.27</v>
      </c>
      <c r="C2">
        <f>24*30</f>
        <v>720</v>
      </c>
      <c r="D2">
        <f>B2*C2</f>
        <v>194.4</v>
      </c>
    </row>
    <row r="3" spans="1:4" x14ac:dyDescent="0.35">
      <c r="A3" t="s">
        <v>5</v>
      </c>
      <c r="B3">
        <v>0.1</v>
      </c>
      <c r="C3">
        <v>100</v>
      </c>
      <c r="D3">
        <f>B3*C3</f>
        <v>10</v>
      </c>
    </row>
    <row r="4" spans="1:4" x14ac:dyDescent="0.35">
      <c r="A4" t="s">
        <v>6</v>
      </c>
      <c r="B4">
        <v>0.09</v>
      </c>
      <c r="C4">
        <v>170</v>
      </c>
      <c r="D4">
        <f>B4*C4</f>
        <v>15.299999999999999</v>
      </c>
    </row>
    <row r="5" spans="1:4" x14ac:dyDescent="0.35">
      <c r="A5" t="s">
        <v>7</v>
      </c>
      <c r="B5">
        <v>25</v>
      </c>
      <c r="C5">
        <v>1</v>
      </c>
      <c r="D5">
        <f>B5*C5</f>
        <v>25</v>
      </c>
    </row>
    <row r="6" spans="1:4" x14ac:dyDescent="0.35">
      <c r="A6" t="s">
        <v>8</v>
      </c>
      <c r="D6">
        <f>SUM(D2:D5)</f>
        <v>244.70000000000002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1"/>
    </sheetView>
  </sheetViews>
  <sheetFormatPr defaultRowHeight="14.5" x14ac:dyDescent="0.35"/>
  <cols>
    <col min="1" max="1" width="23.26953125" customWidth="1"/>
    <col min="2" max="2" width="16.1796875" customWidth="1"/>
  </cols>
  <sheetData>
    <row r="1" spans="1:2" x14ac:dyDescent="0.35">
      <c r="A1" s="1" t="s">
        <v>9</v>
      </c>
      <c r="B1" s="1" t="s">
        <v>10</v>
      </c>
    </row>
    <row r="2" spans="1:2" x14ac:dyDescent="0.35">
      <c r="A2" t="s">
        <v>11</v>
      </c>
      <c r="B2">
        <v>3.6</v>
      </c>
    </row>
    <row r="3" spans="1:2" x14ac:dyDescent="0.35">
      <c r="A3" t="s">
        <v>12</v>
      </c>
      <c r="B3">
        <f>1/B2</f>
        <v>0.27777777777777779</v>
      </c>
    </row>
    <row r="4" spans="1:2" x14ac:dyDescent="0.35">
      <c r="A4" t="s">
        <v>13</v>
      </c>
      <c r="B4">
        <f>B3*3600</f>
        <v>1000</v>
      </c>
    </row>
    <row r="5" spans="1:2" x14ac:dyDescent="0.35">
      <c r="A5" t="s">
        <v>14</v>
      </c>
      <c r="B5">
        <f>B4*0.8</f>
        <v>800</v>
      </c>
    </row>
    <row r="6" spans="1:2" x14ac:dyDescent="0.35">
      <c r="A6" t="s">
        <v>15</v>
      </c>
      <c r="B6">
        <v>0.27</v>
      </c>
    </row>
    <row r="7" spans="1:2" x14ac:dyDescent="0.35">
      <c r="A7" t="s">
        <v>16</v>
      </c>
      <c r="B7">
        <f>B6/B5</f>
        <v>3.3750000000000002E-4</v>
      </c>
    </row>
    <row r="8" spans="1:2" x14ac:dyDescent="0.35">
      <c r="A8" t="s">
        <v>17</v>
      </c>
      <c r="B8">
        <f>B7*1000</f>
        <v>0.33750000000000002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A11" sqref="A11"/>
    </sheetView>
  </sheetViews>
  <sheetFormatPr defaultRowHeight="14.5" x14ac:dyDescent="0.35"/>
  <cols>
    <col min="1" max="1" width="18" customWidth="1"/>
    <col min="2" max="2" width="14" customWidth="1"/>
    <col min="3" max="3" width="11.7265625" customWidth="1"/>
  </cols>
  <sheetData>
    <row r="1" spans="1:4" x14ac:dyDescent="0.35">
      <c r="A1" s="1" t="s">
        <v>18</v>
      </c>
      <c r="B1" s="1" t="s">
        <v>19</v>
      </c>
      <c r="C1" s="1" t="s">
        <v>20</v>
      </c>
      <c r="D1" s="1"/>
    </row>
    <row r="2" spans="1:4" x14ac:dyDescent="0.35">
      <c r="A2" t="s">
        <v>21</v>
      </c>
      <c r="B2">
        <f>Infrastructure_Costs!D2</f>
        <v>194.4</v>
      </c>
    </row>
    <row r="3" spans="1:4" x14ac:dyDescent="0.35">
      <c r="A3" t="s">
        <v>22</v>
      </c>
      <c r="B3">
        <f>0.27*12*30</f>
        <v>97.2</v>
      </c>
      <c r="C3">
        <f>B2-B3</f>
        <v>97.2</v>
      </c>
    </row>
    <row r="4" spans="1:4" x14ac:dyDescent="0.35">
      <c r="A4" t="s">
        <v>23</v>
      </c>
      <c r="B4">
        <f>B2*0.75</f>
        <v>145.80000000000001</v>
      </c>
      <c r="C4">
        <f>B2-B4</f>
        <v>48.599999999999994</v>
      </c>
    </row>
    <row r="5" spans="1:4" x14ac:dyDescent="0.35">
      <c r="A5" t="s">
        <v>24</v>
      </c>
      <c r="B5">
        <f>B2*0.82</f>
        <v>159.40799999999999</v>
      </c>
      <c r="C5">
        <f>B2-B5</f>
        <v>34.992000000000019</v>
      </c>
    </row>
    <row r="6" spans="1:4" x14ac:dyDescent="0.35">
      <c r="A6" t="s">
        <v>25</v>
      </c>
      <c r="B6">
        <f>B2*0.6</f>
        <v>116.64</v>
      </c>
      <c r="C6">
        <f>B2-B6</f>
        <v>77.760000000000005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Infrastructure_Costs</vt:lpstr>
      <vt:lpstr>Throughput_Model</vt:lpstr>
      <vt:lpstr>Optimization_Scenarios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Michela</cp:lastModifiedBy>
  <dcterms:created xsi:type="dcterms:W3CDTF">2026-02-15T09:15:39Z</dcterms:created>
  <dcterms:modified xsi:type="dcterms:W3CDTF">2026-02-15T09:25:28Z</dcterms:modified>
</cp:coreProperties>
</file>